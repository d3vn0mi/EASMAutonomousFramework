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ediation Matrix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F1B2D"/>
      <sz val="14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DC2626"/>
      <sz val="10"/>
    </font>
    <font>
      <name val="Arial"/>
      <b val="1"/>
      <color rgb="00EA580C"/>
      <sz val="10"/>
    </font>
    <font>
      <name val="Arial"/>
      <b val="1"/>
      <color rgb="00CA8A04"/>
      <sz val="10"/>
    </font>
    <font>
      <name val="Arial"/>
      <b val="1"/>
      <color rgb="002563EB"/>
      <sz val="10"/>
    </font>
  </fonts>
  <fills count="4">
    <fill>
      <patternFill/>
    </fill>
    <fill>
      <patternFill patternType="gray125"/>
    </fill>
    <fill>
      <patternFill patternType="solid">
        <fgColor rgb="000F1B2D"/>
      </patternFill>
    </fill>
    <fill>
      <patternFill patternType="solid">
        <fgColor rgb="00F0F6F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5" customWidth="1" min="3" max="3"/>
    <col width="10" customWidth="1" min="4" max="4"/>
    <col width="8" customWidth="1" min="5" max="5"/>
    <col width="8" customWidth="1" min="6" max="6"/>
    <col width="14" customWidth="1" min="7" max="7"/>
    <col width="35" customWidth="1" min="8" max="8"/>
    <col width="10" customWidth="1" min="9" max="9"/>
    <col width="14" customWidth="1" min="10" max="10"/>
    <col width="14" customWidth="1" min="11" max="11"/>
    <col width="10" customWidth="1" min="12" max="12"/>
  </cols>
  <sheetData>
    <row r="1">
      <c r="A1" s="1" t="inlineStr">
        <is>
          <t>RAVEN Cybersecurity IKE — Πίνακας Προτεραιότητας Αποκατάστασης</t>
        </is>
      </c>
    </row>
    <row r="2">
      <c r="A2" s="2" t="inlineStr">
        <is>
          <t>Εμπλοκή:</t>
        </is>
      </c>
      <c r="B2" t="inlineStr">
        <is>
          <t>RAVEN-EASM-[YYYY]-[NNN]</t>
        </is>
      </c>
    </row>
    <row r="3"/>
    <row r="4">
      <c r="A4" s="3" t="inlineStr">
        <is>
          <t>#</t>
        </is>
      </c>
      <c r="B4" s="3" t="inlineStr">
        <is>
          <t>Αναγνωριστικό Ευρήματος</t>
        </is>
      </c>
      <c r="C4" s="3" t="inlineStr">
        <is>
          <t>Τίτλος</t>
        </is>
      </c>
      <c r="D4" s="3" t="inlineStr">
        <is>
          <t>Σοβαρότητα</t>
        </is>
      </c>
      <c r="E4" s="3" t="inlineStr">
        <is>
          <t>CVSS</t>
        </is>
      </c>
      <c r="F4" s="3" t="inlineStr">
        <is>
          <t>EPSS</t>
        </is>
      </c>
      <c r="G4" s="3" t="inlineStr">
        <is>
          <t>Προτεραιότητα</t>
        </is>
      </c>
      <c r="H4" s="3" t="inlineStr">
        <is>
          <t>Ενέργεια Αποκατάστασης</t>
        </is>
      </c>
      <c r="I4" s="3" t="inlineStr">
        <is>
          <t>Προσπάθεια</t>
        </is>
      </c>
      <c r="J4" s="3" t="inlineStr">
        <is>
          <t>Υπεύθυνος</t>
        </is>
      </c>
      <c r="K4" s="3" t="inlineStr">
        <is>
          <t>Ημερομηνία Στόχος</t>
        </is>
      </c>
      <c r="L4" s="3" t="inlineStr">
        <is>
          <t>Κατάσταση</t>
        </is>
      </c>
    </row>
    <row r="5">
      <c r="A5" s="4" t="n">
        <v>1</v>
      </c>
      <c r="B5" s="4" t="inlineStr">
        <is>
          <t>RAVEN-EASM-001</t>
        </is>
      </c>
      <c r="C5" s="4" t="inlineStr">
        <is>
          <t>[Title]</t>
        </is>
      </c>
      <c r="D5" s="5" t="inlineStr">
        <is>
          <t>Κρίσιμο</t>
        </is>
      </c>
      <c r="E5" s="4" t="inlineStr"/>
      <c r="F5" s="4" t="inlineStr"/>
      <c r="G5" s="4" t="inlineStr">
        <is>
          <t>Άμεσο</t>
        </is>
      </c>
      <c r="H5" s="4" t="inlineStr">
        <is>
          <t>[Steps]</t>
        </is>
      </c>
      <c r="I5" s="4" t="inlineStr">
        <is>
          <t>Χαμηλό</t>
        </is>
      </c>
      <c r="J5" s="4" t="inlineStr"/>
      <c r="K5" s="4" t="inlineStr"/>
      <c r="L5" s="4" t="inlineStr">
        <is>
          <t>Ανοικτό</t>
        </is>
      </c>
    </row>
    <row r="6">
      <c r="A6" s="6" t="n">
        <v>2</v>
      </c>
      <c r="B6" s="6" t="inlineStr">
        <is>
          <t>RAVEN-EASM-002</t>
        </is>
      </c>
      <c r="C6" s="6" t="inlineStr">
        <is>
          <t>[Title]</t>
        </is>
      </c>
      <c r="D6" s="7" t="inlineStr">
        <is>
          <t>Υψηλό</t>
        </is>
      </c>
      <c r="E6" s="6" t="inlineStr"/>
      <c r="F6" s="6" t="inlineStr"/>
      <c r="G6" s="6" t="inlineStr">
        <is>
          <t>Άμεσο</t>
        </is>
      </c>
      <c r="H6" s="6" t="inlineStr">
        <is>
          <t>[Steps]</t>
        </is>
      </c>
      <c r="I6" s="6" t="inlineStr">
        <is>
          <t>Μεσαίο</t>
        </is>
      </c>
      <c r="J6" s="6" t="inlineStr"/>
      <c r="K6" s="6" t="inlineStr"/>
      <c r="L6" s="6" t="inlineStr">
        <is>
          <t>Ανοικτό</t>
        </is>
      </c>
    </row>
    <row r="7">
      <c r="A7" s="4" t="n">
        <v>3</v>
      </c>
      <c r="B7" s="4" t="inlineStr">
        <is>
          <t>RAVEN-EASM-003</t>
        </is>
      </c>
      <c r="C7" s="4" t="inlineStr">
        <is>
          <t>[Title]</t>
        </is>
      </c>
      <c r="D7" s="8" t="inlineStr">
        <is>
          <t>Μεσαίο</t>
        </is>
      </c>
      <c r="E7" s="4" t="inlineStr"/>
      <c r="F7" s="4" t="inlineStr"/>
      <c r="G7" s="4" t="inlineStr">
        <is>
          <t>Βραχυπρόθεσμο</t>
        </is>
      </c>
      <c r="H7" s="4" t="inlineStr">
        <is>
          <t>[Steps]</t>
        </is>
      </c>
      <c r="I7" s="4" t="inlineStr">
        <is>
          <t>Μεσαίο</t>
        </is>
      </c>
      <c r="J7" s="4" t="inlineStr"/>
      <c r="K7" s="4" t="inlineStr"/>
      <c r="L7" s="4" t="inlineStr">
        <is>
          <t>Ανοικτό</t>
        </is>
      </c>
    </row>
    <row r="8">
      <c r="A8" s="6" t="n">
        <v>4</v>
      </c>
      <c r="B8" s="6" t="inlineStr">
        <is>
          <t>RAVEN-EASM-004</t>
        </is>
      </c>
      <c r="C8" s="6" t="inlineStr">
        <is>
          <t>[Title]</t>
        </is>
      </c>
      <c r="D8" s="9" t="inlineStr">
        <is>
          <t>Χαμηλό</t>
        </is>
      </c>
      <c r="E8" s="6" t="inlineStr"/>
      <c r="F8" s="6" t="inlineStr"/>
      <c r="G8" s="6" t="inlineStr">
        <is>
          <t>Μεσοπρόθεσμο</t>
        </is>
      </c>
      <c r="H8" s="6" t="inlineStr">
        <is>
          <t>[Steps]</t>
        </is>
      </c>
      <c r="I8" s="6" t="inlineStr">
        <is>
          <t>Χαμηλό</t>
        </is>
      </c>
      <c r="J8" s="6" t="inlineStr"/>
      <c r="K8" s="6" t="inlineStr"/>
      <c r="L8" s="6" t="inlineStr">
        <is>
          <t>Ανοικτό</t>
        </is>
      </c>
    </row>
    <row r="9">
      <c r="A9" s="4" t="n">
        <v>5</v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s="6" t="n">
        <v>6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>
      <c r="A11" s="4" t="n">
        <v>7</v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>
      <c r="A12" s="6" t="n">
        <v>8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>
      <c r="A13" s="4" t="n">
        <v>9</v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A14" s="6" t="n">
        <v>10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>
      <c r="A15" s="4" t="n">
        <v>11</v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A16" s="6" t="n">
        <v>12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>
      <c r="A17" s="4" t="n">
        <v>13</v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>
      <c r="A18" s="6" t="n">
        <v>14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>
      <c r="A19" s="4" t="n">
        <v>15</v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6" t="n">
        <v>16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>
      <c r="A21" s="4" t="n">
        <v>17</v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>
      <c r="A22" s="6" t="n">
        <v>18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>
      <c r="A23" s="4" t="n">
        <v>19</v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A24" s="6" t="n">
        <v>20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Περίληψη Προόδου Αποκατάστασης</t>
        </is>
      </c>
    </row>
    <row r="2"/>
    <row r="3">
      <c r="A3" s="2" t="inlineStr"/>
      <c r="B3" s="10" t="inlineStr">
        <is>
          <t>Πλήθος</t>
        </is>
      </c>
    </row>
    <row r="4">
      <c r="A4" s="2" t="inlineStr">
        <is>
          <t>Σύνολο Ευρημάτων</t>
        </is>
      </c>
      <c r="B4" s="10">
        <f>COUNTA('Remediation Matrix'!B5:B100)-COUNTBLANK('Remediation Matrix'!B5:B100)</f>
        <v/>
      </c>
    </row>
    <row r="5">
      <c r="A5" s="2" t="inlineStr">
        <is>
          <t>Κρίσιμο</t>
        </is>
      </c>
      <c r="B5" s="10">
        <f>COUNTIF('Remediation Matrix'!D5:D100,"Critical")</f>
        <v/>
      </c>
    </row>
    <row r="6">
      <c r="A6" s="2" t="inlineStr">
        <is>
          <t>Υψηλό</t>
        </is>
      </c>
      <c r="B6" s="10">
        <f>COUNTIF('Remediation Matrix'!D5:D100,"High")</f>
        <v/>
      </c>
    </row>
    <row r="7">
      <c r="A7" s="2" t="inlineStr">
        <is>
          <t>Μεσαίο</t>
        </is>
      </c>
      <c r="B7" s="10">
        <f>COUNTIF('Remediation Matrix'!D5:D100,"Medium")</f>
        <v/>
      </c>
    </row>
    <row r="8">
      <c r="A8" s="2" t="inlineStr">
        <is>
          <t>Χαμηλό</t>
        </is>
      </c>
      <c r="B8" s="10">
        <f>COUNTIF('Remediation Matrix'!D5:D100,"Low")</f>
        <v/>
      </c>
    </row>
    <row r="9">
      <c r="A9" s="2" t="inlineStr"/>
      <c r="B9" s="10" t="inlineStr"/>
    </row>
    <row r="10">
      <c r="A10" s="2" t="inlineStr">
        <is>
          <t>Remediated</t>
        </is>
      </c>
      <c r="B10" s="10">
        <f>COUNTIF('Remediation Matrix'!L5:L100,"Remediated")</f>
        <v/>
      </c>
    </row>
    <row r="11">
      <c r="A11" s="2" t="inlineStr">
        <is>
          <t>In Progress</t>
        </is>
      </c>
      <c r="B11" s="10">
        <f>COUNTIF('Remediation Matrix'!L5:L100,"In Progress")</f>
        <v/>
      </c>
    </row>
    <row r="12">
      <c r="A12" s="2" t="inlineStr">
        <is>
          <t>Ανοικτό</t>
        </is>
      </c>
      <c r="B12" s="10">
        <f>COUNTIF('Remediation Matrix'!L5:L100,"Open")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2026-03-01T11:41:56Z</dcterms:created>
  <dcterms:modified xmlns:dcterms="http://purl.org/dc/terms/" xmlns:xsi="http://www.w3.org/2001/XMLSchema-instance" xsi:type="dcterms:W3CDTF">2026-03-01T18:15:00Z</dcterms:modified>
</cp:coreProperties>
</file>